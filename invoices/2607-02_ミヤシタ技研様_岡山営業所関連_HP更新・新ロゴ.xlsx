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an\PythonProject\invoice_manager\invoices\"/>
    </mc:Choice>
  </mc:AlternateContent>
  <xr:revisionPtr revIDLastSave="0" documentId="13_ncr:1_{256D3911-C3CD-4DFD-BB7C-F41FE1847926}" xr6:coauthVersionLast="47" xr6:coauthVersionMax="47" xr10:uidLastSave="{00000000-0000-0000-0000-000000000000}"/>
  <bookViews>
    <workbookView xWindow="2350" yWindow="490" windowWidth="13310" windowHeight="10790" activeTab="1" xr2:uid="{2B2100E7-E90C-4377-9BE3-DFD47AA69EB3}"/>
  </bookViews>
  <sheets>
    <sheet name="請求書" sheetId="1" r:id="rId1"/>
    <sheet name="見積書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F11" i="2"/>
  <c r="A17" i="1"/>
  <c r="B4" i="1"/>
  <c r="B18" i="1"/>
  <c r="A30" i="1"/>
  <c r="B30" i="1"/>
  <c r="C30" i="1"/>
  <c r="D30" i="1"/>
  <c r="E30" i="1"/>
  <c r="A21" i="1"/>
  <c r="B21" i="1"/>
  <c r="C21" i="1"/>
  <c r="D21" i="1"/>
  <c r="E21" i="1"/>
  <c r="A22" i="1"/>
  <c r="B22" i="1"/>
  <c r="C22" i="1"/>
  <c r="F22" i="1" s="1"/>
  <c r="D22" i="1"/>
  <c r="E22" i="1"/>
  <c r="A23" i="1"/>
  <c r="B23" i="1"/>
  <c r="C23" i="1"/>
  <c r="F23" i="1" s="1"/>
  <c r="D23" i="1"/>
  <c r="E23" i="1"/>
  <c r="A24" i="1"/>
  <c r="B24" i="1"/>
  <c r="C24" i="1"/>
  <c r="D24" i="1"/>
  <c r="E24" i="1"/>
  <c r="A25" i="1"/>
  <c r="B25" i="1"/>
  <c r="C25" i="1"/>
  <c r="D25" i="1"/>
  <c r="E25" i="1"/>
  <c r="A26" i="1"/>
  <c r="B26" i="1"/>
  <c r="C26" i="1"/>
  <c r="D26" i="1"/>
  <c r="E26" i="1"/>
  <c r="A27" i="1"/>
  <c r="B27" i="1"/>
  <c r="C27" i="1"/>
  <c r="D27" i="1"/>
  <c r="E27" i="1"/>
  <c r="A28" i="1"/>
  <c r="B28" i="1"/>
  <c r="C28" i="1"/>
  <c r="D28" i="1"/>
  <c r="E28" i="1"/>
  <c r="A29" i="1"/>
  <c r="B29" i="1"/>
  <c r="C29" i="1"/>
  <c r="D29" i="1"/>
  <c r="E29" i="1"/>
  <c r="A12" i="1"/>
  <c r="C12" i="1"/>
  <c r="D12" i="1"/>
  <c r="E12" i="1"/>
  <c r="A13" i="1"/>
  <c r="B13" i="1"/>
  <c r="C13" i="1"/>
  <c r="D13" i="1"/>
  <c r="A14" i="1"/>
  <c r="B14" i="1"/>
  <c r="C14" i="1"/>
  <c r="D14" i="1"/>
  <c r="E14" i="1"/>
  <c r="A15" i="1"/>
  <c r="C15" i="1"/>
  <c r="D15" i="1"/>
  <c r="E15" i="1"/>
  <c r="A16" i="1"/>
  <c r="B16" i="1"/>
  <c r="C16" i="1"/>
  <c r="D16" i="1"/>
  <c r="E16" i="1"/>
  <c r="B17" i="1"/>
  <c r="C17" i="1"/>
  <c r="F17" i="1" s="1"/>
  <c r="D17" i="1"/>
  <c r="E17" i="1"/>
  <c r="A18" i="1"/>
  <c r="C18" i="1"/>
  <c r="F18" i="1" s="1"/>
  <c r="D18" i="1"/>
  <c r="E18" i="1"/>
  <c r="A19" i="1"/>
  <c r="B19" i="1"/>
  <c r="C19" i="1"/>
  <c r="F19" i="1" s="1"/>
  <c r="D19" i="1"/>
  <c r="E19" i="1"/>
  <c r="A20" i="1"/>
  <c r="B20" i="1"/>
  <c r="C20" i="1"/>
  <c r="F20" i="1" s="1"/>
  <c r="D20" i="1"/>
  <c r="E20" i="1"/>
  <c r="C11" i="1"/>
  <c r="D11" i="1"/>
  <c r="E11" i="1"/>
  <c r="F11" i="1" s="1"/>
  <c r="A11" i="1"/>
  <c r="F2" i="1"/>
  <c r="B3" i="1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4" i="2"/>
  <c r="F13" i="2"/>
  <c r="F12" i="2"/>
  <c r="F4" i="2"/>
  <c r="F26" i="1"/>
  <c r="F25" i="1"/>
  <c r="F21" i="1"/>
  <c r="F24" i="1"/>
  <c r="F31" i="2" l="1"/>
  <c r="F8" i="2" s="1"/>
  <c r="F4" i="1"/>
  <c r="F30" i="1"/>
  <c r="F29" i="1"/>
  <c r="F28" i="1"/>
  <c r="F27" i="1"/>
  <c r="F16" i="1"/>
  <c r="F15" i="1"/>
  <c r="F14" i="1"/>
  <c r="F13" i="1"/>
  <c r="F12" i="1"/>
  <c r="F31" i="1" l="1"/>
  <c r="F8" i="1" s="1"/>
</calcChain>
</file>

<file path=xl/sharedStrings.xml><?xml version="1.0" encoding="utf-8"?>
<sst xmlns="http://schemas.openxmlformats.org/spreadsheetml/2006/main" count="48" uniqueCount="32">
  <si>
    <t>請求書</t>
    <rPh sb="0" eb="3">
      <t>セイキュウショ</t>
    </rPh>
    <phoneticPr fontId="2"/>
  </si>
  <si>
    <t>内容</t>
    <rPh sb="0" eb="2">
      <t>ナイヨウ</t>
    </rPh>
    <phoneticPr fontId="2"/>
  </si>
  <si>
    <t>数量</t>
    <rPh sb="0" eb="2">
      <t>スウリョウ</t>
    </rPh>
    <phoneticPr fontId="2"/>
  </si>
  <si>
    <t>単位</t>
    <rPh sb="0" eb="2">
      <t>タンイ</t>
    </rPh>
    <phoneticPr fontId="2"/>
  </si>
  <si>
    <t>単価</t>
    <rPh sb="0" eb="2">
      <t>タンカ</t>
    </rPh>
    <phoneticPr fontId="2"/>
  </si>
  <si>
    <t>金額</t>
    <rPh sb="0" eb="2">
      <t>キンガク</t>
    </rPh>
    <phoneticPr fontId="2"/>
  </si>
  <si>
    <t>式</t>
    <rPh sb="0" eb="1">
      <t>シキ</t>
    </rPh>
    <phoneticPr fontId="2"/>
  </si>
  <si>
    <t>合計</t>
    <rPh sb="0" eb="2">
      <t>ゴウケイ</t>
    </rPh>
    <phoneticPr fontId="2"/>
  </si>
  <si>
    <t>請求番号：</t>
    <rPh sb="0" eb="4">
      <t>セイキュウバンゴウ</t>
    </rPh>
    <phoneticPr fontId="2"/>
  </si>
  <si>
    <t>発行日：</t>
    <rPh sb="0" eb="3">
      <t>ハッコウビ</t>
    </rPh>
    <phoneticPr fontId="2"/>
  </si>
  <si>
    <t>支払期限：</t>
    <rPh sb="0" eb="2">
      <t>シハラ</t>
    </rPh>
    <rPh sb="2" eb="4">
      <t>キゲン</t>
    </rPh>
    <phoneticPr fontId="2"/>
  </si>
  <si>
    <t>得意先：</t>
    <rPh sb="0" eb="3">
      <t>トクイサキ</t>
    </rPh>
    <phoneticPr fontId="2"/>
  </si>
  <si>
    <t>案件名：</t>
    <rPh sb="0" eb="3">
      <t>アンケンメイ</t>
    </rPh>
    <phoneticPr fontId="2"/>
  </si>
  <si>
    <t>下記の通り請求いたします。ご査収のほどよろしくお願いいたします。</t>
    <rPh sb="0" eb="2">
      <t>カキ</t>
    </rPh>
    <rPh sb="3" eb="4">
      <t>トオ</t>
    </rPh>
    <rPh sb="5" eb="7">
      <t>セイキュウ</t>
    </rPh>
    <rPh sb="14" eb="16">
      <t>サシュウ</t>
    </rPh>
    <rPh sb="24" eb="25">
      <t>ネガ</t>
    </rPh>
    <phoneticPr fontId="2"/>
  </si>
  <si>
    <t>合計金額</t>
    <rPh sb="0" eb="2">
      <t>ゴウケイ</t>
    </rPh>
    <rPh sb="2" eb="4">
      <t>キンガク</t>
    </rPh>
    <phoneticPr fontId="2"/>
  </si>
  <si>
    <t>　　楽天銀行　タンゴ支店　普通口座　1345429　コバタ ミカ</t>
    <rPh sb="2" eb="4">
      <t>ラクテン</t>
    </rPh>
    <rPh sb="4" eb="6">
      <t>ギンコウ</t>
    </rPh>
    <rPh sb="10" eb="12">
      <t>シテン</t>
    </rPh>
    <rPh sb="13" eb="17">
      <t>フツウコウザ</t>
    </rPh>
    <phoneticPr fontId="2"/>
  </si>
  <si>
    <t>小畠　美香</t>
    <rPh sb="0" eb="2">
      <t>コバタ</t>
    </rPh>
    <rPh sb="3" eb="5">
      <t>ミカ</t>
    </rPh>
    <phoneticPr fontId="2"/>
  </si>
  <si>
    <t>〒739-0401　広島県廿日市市福面2-10-8</t>
    <rPh sb="10" eb="13">
      <t>ヒロシマケン</t>
    </rPh>
    <rPh sb="13" eb="17">
      <t>ハツカイチシ</t>
    </rPh>
    <rPh sb="17" eb="18">
      <t>フク</t>
    </rPh>
    <rPh sb="18" eb="19">
      <t>メン</t>
    </rPh>
    <phoneticPr fontId="2"/>
  </si>
  <si>
    <t>TEL：080-5231-7895</t>
    <phoneticPr fontId="2"/>
  </si>
  <si>
    <t>（備考）</t>
    <rPh sb="1" eb="3">
      <t>ビコウ</t>
    </rPh>
    <phoneticPr fontId="2"/>
  </si>
  <si>
    <t>見積書</t>
    <rPh sb="0" eb="3">
      <t>ミツモリショ</t>
    </rPh>
    <phoneticPr fontId="2"/>
  </si>
  <si>
    <t>株式会社ミヤシタ技研　様</t>
    <rPh sb="0" eb="4">
      <t>カブシキガイシャ</t>
    </rPh>
    <rPh sb="8" eb="10">
      <t>ギケン</t>
    </rPh>
    <rPh sb="11" eb="12">
      <t>サマ</t>
    </rPh>
    <phoneticPr fontId="2"/>
  </si>
  <si>
    <t>見積番号：</t>
    <rPh sb="0" eb="2">
      <t>ミツモリ</t>
    </rPh>
    <rPh sb="2" eb="4">
      <t>バンゴウ</t>
    </rPh>
    <phoneticPr fontId="2"/>
  </si>
  <si>
    <t>有効期限：</t>
    <rPh sb="0" eb="2">
      <t>ユウコウ</t>
    </rPh>
    <rPh sb="2" eb="4">
      <t>キゲン</t>
    </rPh>
    <phoneticPr fontId="2"/>
  </si>
  <si>
    <t>下記の通り見積いたします。ご査収のほどよろしくお願いいたします。</t>
    <rPh sb="0" eb="2">
      <t>カキ</t>
    </rPh>
    <rPh sb="3" eb="4">
      <t>トオ</t>
    </rPh>
    <rPh sb="5" eb="7">
      <t>ミツモリ</t>
    </rPh>
    <rPh sb="14" eb="16">
      <t>サシュウ</t>
    </rPh>
    <rPh sb="24" eb="25">
      <t>ネガ</t>
    </rPh>
    <phoneticPr fontId="2"/>
  </si>
  <si>
    <t>Email：papaya8818@gmail.com</t>
    <phoneticPr fontId="2"/>
  </si>
  <si>
    <t>※お振込みは下記へお願いいたします。</t>
    <rPh sb="2" eb="4">
      <t>フリコ</t>
    </rPh>
    <rPh sb="6" eb="8">
      <t>カキ</t>
    </rPh>
    <rPh sb="10" eb="11">
      <t>ネガ</t>
    </rPh>
    <phoneticPr fontId="2"/>
  </si>
  <si>
    <t>岡山営業所開設に伴うＨＰ更新および新ロゴマーク作成</t>
    <rPh sb="0" eb="2">
      <t>オカヤマ</t>
    </rPh>
    <rPh sb="2" eb="5">
      <t>エイギョウショ</t>
    </rPh>
    <rPh sb="5" eb="7">
      <t>カイセツ</t>
    </rPh>
    <rPh sb="8" eb="9">
      <t>トモナ</t>
    </rPh>
    <rPh sb="12" eb="14">
      <t>コウシン</t>
    </rPh>
    <rPh sb="17" eb="18">
      <t>シン</t>
    </rPh>
    <rPh sb="23" eb="25">
      <t>サクセイ</t>
    </rPh>
    <phoneticPr fontId="2"/>
  </si>
  <si>
    <t>新ロゴマーク制作費</t>
    <rPh sb="0" eb="1">
      <t>シン</t>
    </rPh>
    <rPh sb="6" eb="9">
      <t>セイサクヒ</t>
    </rPh>
    <phoneticPr fontId="2"/>
  </si>
  <si>
    <t>会社情報ページへ岡山営業所情報を追加</t>
    <rPh sb="0" eb="4">
      <t>カイシャジョウホウ</t>
    </rPh>
    <rPh sb="8" eb="10">
      <t>オカヤマ</t>
    </rPh>
    <rPh sb="10" eb="13">
      <t>エイギョウショ</t>
    </rPh>
    <rPh sb="13" eb="15">
      <t>ジョウホウ</t>
    </rPh>
    <rPh sb="16" eb="18">
      <t>ツイカ</t>
    </rPh>
    <phoneticPr fontId="2"/>
  </si>
  <si>
    <t>ホームページ更新</t>
    <rPh sb="6" eb="8">
      <t>コウシン</t>
    </rPh>
    <phoneticPr fontId="2"/>
  </si>
  <si>
    <t>2607-02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</si>
</sst>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yyyy&quot;年&quot;m&quot;月&quot;d&quot;日&quot;;@"/>
  </numFmts>
  <fonts count="11" x14ac:knownFonts="1">
    <font>
      <sz val="11"/>
      <color theme="1"/>
      <name val="游ゴシック"/>
      <family val="2"/>
      <charset val="128"/>
    </font>
    <font>
      <sz val="11"/>
      <color theme="1"/>
      <name val="游ゴシック"/>
      <family val="2"/>
      <charset val="128"/>
    </font>
    <font>
      <sz val="6"/>
      <name val="游ゴシック"/>
      <family val="2"/>
      <charset val="128"/>
    </font>
    <font>
      <sz val="10"/>
      <color theme="1"/>
      <name val="游ゴシック"/>
      <family val="2"/>
      <charset val="128"/>
    </font>
    <font>
      <sz val="10"/>
      <color theme="1"/>
      <name val="游ゴシック"/>
      <family val="3"/>
      <charset val="128"/>
    </font>
    <font>
      <b/>
      <sz val="18"/>
      <color theme="1"/>
      <name val="游ゴシック"/>
      <family val="3"/>
      <charset val="128"/>
    </font>
    <font>
      <sz val="10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b/>
      <sz val="14"/>
      <color theme="1"/>
      <name val="游ゴシック"/>
      <family val="3"/>
      <charset val="128"/>
    </font>
    <font>
      <sz val="9"/>
      <color theme="1"/>
      <name val="游ゴシック"/>
      <family val="3"/>
      <charset val="128"/>
    </font>
    <font>
      <sz val="9"/>
      <color theme="1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8" fontId="0" fillId="0" borderId="0" xfId="1" applyFont="1">
      <alignment vertical="center"/>
    </xf>
    <xf numFmtId="14" fontId="0" fillId="0" borderId="0" xfId="0" applyNumberForma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9" fillId="0" borderId="0" xfId="0" applyFo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Continuous" vertical="center"/>
    </xf>
    <xf numFmtId="38" fontId="0" fillId="0" borderId="0" xfId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6" fontId="8" fillId="0" borderId="2" xfId="2" applyFont="1" applyBorder="1" applyAlignment="1">
      <alignment horizontal="center" vertical="center"/>
    </xf>
    <xf numFmtId="0" fontId="0" fillId="0" borderId="1" xfId="0" applyBorder="1" applyAlignment="1">
      <alignment horizontal="centerContinuous" vertical="center"/>
    </xf>
    <xf numFmtId="0" fontId="3" fillId="0" borderId="1" xfId="0" applyFont="1" applyBorder="1" applyAlignment="1">
      <alignment horizontal="right" vertical="center"/>
    </xf>
    <xf numFmtId="38" fontId="0" fillId="0" borderId="1" xfId="1" applyFont="1" applyBorder="1">
      <alignment vertic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 vertical="top"/>
    </xf>
    <xf numFmtId="0" fontId="0" fillId="0" borderId="0" xfId="0" applyAlignment="1">
      <alignment horizontal="center"/>
    </xf>
    <xf numFmtId="0" fontId="0" fillId="0" borderId="0" xfId="0" applyAlignment="1"/>
    <xf numFmtId="0" fontId="4" fillId="0" borderId="3" xfId="0" applyFont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17" fontId="4" fillId="0" borderId="0" xfId="0" quotePrefix="1" applyNumberFormat="1" applyFont="1" applyAlignment="1">
      <alignment horizontal="left"/>
    </xf>
    <xf numFmtId="176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left" vertical="top"/>
    </xf>
    <xf numFmtId="0" fontId="4" fillId="0" borderId="5" xfId="0" applyFont="1" applyBorder="1" applyAlignment="1">
      <alignment horizontal="left" vertical="center" indent="1"/>
    </xf>
    <xf numFmtId="0" fontId="0" fillId="0" borderId="7" xfId="0" applyBorder="1" applyAlignment="1">
      <alignment horizontal="left" vertical="center" indent="1"/>
    </xf>
    <xf numFmtId="56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10" fillId="0" borderId="5" xfId="0" applyFont="1" applyBorder="1" applyAlignment="1">
      <alignment horizontal="left" vertical="center" indent="1"/>
    </xf>
    <xf numFmtId="0" fontId="0" fillId="0" borderId="9" xfId="0" applyBorder="1">
      <alignment vertical="center"/>
    </xf>
    <xf numFmtId="0" fontId="0" fillId="0" borderId="9" xfId="0" applyBorder="1" applyAlignment="1">
      <alignment horizontal="centerContinuous" vertical="center"/>
    </xf>
    <xf numFmtId="0" fontId="3" fillId="0" borderId="9" xfId="0" applyFont="1" applyBorder="1" applyAlignment="1">
      <alignment horizontal="right" vertical="center"/>
    </xf>
    <xf numFmtId="38" fontId="0" fillId="0" borderId="9" xfId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3">
    <cellStyle name="桁区切り" xfId="1" builtinId="6"/>
    <cellStyle name="通貨" xfId="2" builtinId="7"/>
    <cellStyle name="標準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2"/>
        <charset val="12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none"/>
      </font>
      <numFmt numFmtId="47" formatCode="m&quot;月&quot;d&quot;日&quot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游ゴシック"/>
        <family val="2"/>
        <charset val="128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412750</xdr:colOff>
      <xdr:row>4</xdr:row>
      <xdr:rowOff>50800</xdr:rowOff>
    </xdr:from>
    <xdr:to>
      <xdr:col>5</xdr:col>
      <xdr:colOff>952750</xdr:colOff>
      <xdr:row>5</xdr:row>
      <xdr:rowOff>286000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F658E7E-D980-6AF4-EC09-C9C2A02DA0FB}"/>
            </a:ext>
          </a:extLst>
        </xdr:cNvPr>
        <xdr:cNvSpPr/>
      </xdr:nvSpPr>
      <xdr:spPr>
        <a:xfrm>
          <a:off x="6870700" y="1104900"/>
          <a:ext cx="540000" cy="540000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5</xdr:col>
      <xdr:colOff>438152</xdr:colOff>
      <xdr:row>4</xdr:row>
      <xdr:rowOff>88902</xdr:rowOff>
    </xdr:from>
    <xdr:to>
      <xdr:col>5</xdr:col>
      <xdr:colOff>907735</xdr:colOff>
      <xdr:row>5</xdr:row>
      <xdr:rowOff>258923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8F3461D-BFB4-C012-3BDD-F06798A7E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2" y="1143002"/>
          <a:ext cx="469583" cy="4748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412750</xdr:colOff>
      <xdr:row>4</xdr:row>
      <xdr:rowOff>50800</xdr:rowOff>
    </xdr:from>
    <xdr:to>
      <xdr:col>5</xdr:col>
      <xdr:colOff>952750</xdr:colOff>
      <xdr:row>5</xdr:row>
      <xdr:rowOff>286000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9DFF613-C979-4303-9CAB-A2DBE353FCC8}"/>
            </a:ext>
          </a:extLst>
        </xdr:cNvPr>
        <xdr:cNvSpPr/>
      </xdr:nvSpPr>
      <xdr:spPr>
        <a:xfrm>
          <a:off x="6870700" y="1104900"/>
          <a:ext cx="540000" cy="540000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6C4B12-F72E-4122-95C1-C43302EBF910}" name="テーブル4" displayName="テーブル4" ref="A11:F30" headerRowCount="0" headerRowDxfId="34" tableBorderDxfId="33">
  <tableColumns count="6">
    <tableColumn id="1" xr3:uid="{D3AE0F80-54D5-48CC-8491-D4E9EFDB40B5}" name="月日" headerRowDxfId="32" dataDxfId="31">
      <calculatedColumnFormula>IF(テーブル42[[#This Row],[月日]]="","",テーブル42[[#This Row],[月日]])</calculatedColumnFormula>
    </tableColumn>
    <tableColumn id="2" xr3:uid="{B3DE563A-9861-475A-843C-C75373A538E5}" name="内容" headerRowDxfId="30" dataDxfId="29"/>
    <tableColumn id="3" xr3:uid="{88B177C8-86A2-4C14-8E4C-DD177C6CBB30}" name="数量" headerRowDxfId="28" dataDxfId="27" totalsRowDxfId="26"/>
    <tableColumn id="4" xr3:uid="{C71A7C9B-BBB6-4D01-9BC7-6119DEA439ED}" name="単位" headerRowDxfId="25" dataDxfId="24" totalsRowDxfId="23"/>
    <tableColumn id="5" xr3:uid="{417E63E4-F2C8-4CC9-9B42-500FCFBB568B}" name="単価" headerRowDxfId="22" dataDxfId="21" totalsRowDxfId="20" dataCellStyle="桁区切り"/>
    <tableColumn id="6" xr3:uid="{5C865E21-D86F-482B-91CD-A7DABDC74E98}" name="金額" totalsRowFunction="count" headerRowDxfId="19" dataDxfId="18" totalsRowDxfId="17" dataCellStyle="桁区切り">
      <calculatedColumnFormula>IF(C12="","",C12*E12)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A85FE4-A461-4AE9-870A-70E7608C0621}" name="テーブル42" displayName="テーブル42" ref="A11:F30" headerRowCount="0" headerRowDxfId="16">
  <tableColumns count="6">
    <tableColumn id="1" xr3:uid="{3D6C83A0-5D9E-4A88-8038-5B28ADB0DDB6}" name="月日" headerRowDxfId="15" dataDxfId="14"/>
    <tableColumn id="2" xr3:uid="{367B9DC5-AA36-4E67-A40B-7837BB020C93}" name="内容" headerRowDxfId="13" dataDxfId="12"/>
    <tableColumn id="3" xr3:uid="{A1752893-8B1E-461F-86B1-831D1D329F6A}" name="数量" headerRowDxfId="11" dataDxfId="10" totalsRowDxfId="9"/>
    <tableColumn id="4" xr3:uid="{4E046698-C072-48BB-8038-7486044E9348}" name="単位" headerRowDxfId="8" dataDxfId="7" totalsRowDxfId="6"/>
    <tableColumn id="5" xr3:uid="{8AB5FC50-381A-4936-AF1E-01319AC7862F}" name="単価" headerRowDxfId="5" dataDxfId="4" totalsRowDxfId="3" dataCellStyle="桁区切り"/>
    <tableColumn id="6" xr3:uid="{D8E88B4C-5E7B-40F1-A806-38F10EC33507}" name="金額" totalsRowFunction="count" headerRowDxfId="2" dataDxfId="1" totalsRowDxfId="0" dataCellStyle="桁区切り">
      <calculatedColumnFormula>IF(C11="","",C11*E11)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90AE9-6B57-4498-8F75-8B2EBF8964B1}">
  <sheetPr>
    <pageSetUpPr fitToPage="1"/>
  </sheetPr>
  <dimension ref="A1:F39"/>
  <sheetViews>
    <sheetView zoomScaleNormal="100" zoomScaleSheetLayoutView="70" workbookViewId="0">
      <selection activeCell="B2" sqref="B2"/>
    </sheetView>
  </sheetViews>
  <sheetFormatPr defaultRowHeight="18" x14ac:dyDescent="0.55000000000000004"/>
  <cols>
    <col min="1" max="1" width="9.08203125" customWidth="1"/>
    <col min="2" max="2" width="51" customWidth="1"/>
    <col min="3" max="4" width="7.58203125" customWidth="1"/>
    <col min="5" max="5" width="9.5" bestFit="1" customWidth="1"/>
    <col min="6" max="6" width="12.75" bestFit="1" customWidth="1"/>
  </cols>
  <sheetData>
    <row r="1" spans="1:6" ht="29" x14ac:dyDescent="0.55000000000000004">
      <c r="A1" s="5" t="s">
        <v>0</v>
      </c>
    </row>
    <row r="2" spans="1:6" x14ac:dyDescent="0.5">
      <c r="E2" s="17" t="s">
        <v>8</v>
      </c>
      <c r="F2" s="25" t="str">
        <f>見積書!F2</f>
        <v>2607-02</v>
      </c>
    </row>
    <row r="3" spans="1:6" x14ac:dyDescent="0.55000000000000004">
      <c r="A3" s="19" t="s">
        <v>11</v>
      </c>
      <c r="B3" s="20" t="str">
        <f>見積書!B3</f>
        <v>株式会社ミヤシタ技研　様</v>
      </c>
      <c r="E3" s="4" t="s">
        <v>9</v>
      </c>
      <c r="F3" s="26">
        <v>46210</v>
      </c>
    </row>
    <row r="4" spans="1:6" x14ac:dyDescent="0.55000000000000004">
      <c r="A4" s="19" t="s">
        <v>12</v>
      </c>
      <c r="B4" s="20" t="str">
        <f>見積書!B4</f>
        <v>岡山営業所開設に伴うＨＰ更新および新ロゴマーク作成</v>
      </c>
      <c r="E4" s="18" t="s">
        <v>10</v>
      </c>
      <c r="F4" s="27">
        <f>F3+14</f>
        <v>46224</v>
      </c>
    </row>
    <row r="5" spans="1:6" ht="24" customHeight="1" x14ac:dyDescent="0.55000000000000004">
      <c r="F5" s="3"/>
    </row>
    <row r="6" spans="1:6" ht="24" customHeight="1" x14ac:dyDescent="0.55000000000000004">
      <c r="A6" t="s">
        <v>13</v>
      </c>
    </row>
    <row r="7" spans="1:6" ht="24" customHeight="1" x14ac:dyDescent="0.55000000000000004"/>
    <row r="8" spans="1:6" ht="24" customHeight="1" thickBot="1" x14ac:dyDescent="0.6">
      <c r="C8" s="12" t="s">
        <v>14</v>
      </c>
      <c r="D8" s="12"/>
      <c r="E8" s="12"/>
      <c r="F8" s="13">
        <f>F31</f>
        <v>20400</v>
      </c>
    </row>
    <row r="10" spans="1:6" x14ac:dyDescent="0.55000000000000004">
      <c r="A10" s="38" t="s">
        <v>1</v>
      </c>
      <c r="B10" s="39"/>
      <c r="C10" s="11" t="s">
        <v>2</v>
      </c>
      <c r="D10" s="11" t="s">
        <v>3</v>
      </c>
      <c r="E10" s="11" t="s">
        <v>4</v>
      </c>
      <c r="F10" s="11" t="s">
        <v>5</v>
      </c>
    </row>
    <row r="11" spans="1:6" x14ac:dyDescent="0.55000000000000004">
      <c r="A11" s="30" t="str">
        <f>IF(テーブル42[[#This Row],[月日]]="","",テーブル42[[#This Row],[月日]])</f>
        <v>新ロゴマーク制作費</v>
      </c>
      <c r="B11" s="6"/>
      <c r="C11" s="1">
        <f>IF(テーブル42[[#This Row],[数量]]="","",テーブル42[[#This Row],[数量]])</f>
        <v>1</v>
      </c>
      <c r="D11" s="1" t="str">
        <f>IF(テーブル42[[#This Row],[単位]]="","",テーブル42[[#This Row],[単位]])</f>
        <v>式</v>
      </c>
      <c r="E11" s="2">
        <f>IF(テーブル42[[#This Row],[単価]]="","",テーブル42[[#This Row],[単価]])</f>
        <v>15000</v>
      </c>
      <c r="F11" s="2">
        <f>IF(C11="","",C11*E11)</f>
        <v>15000</v>
      </c>
    </row>
    <row r="12" spans="1:6" x14ac:dyDescent="0.55000000000000004">
      <c r="A12" s="31" t="str">
        <f>IF(テーブル42[[#This Row],[月日]]="","",テーブル42[[#This Row],[月日]])</f>
        <v>ホームページ更新</v>
      </c>
      <c r="B12" s="6"/>
      <c r="C12" s="1" t="str">
        <f>IF(テーブル42[[#This Row],[数量]]="","",テーブル42[[#This Row],[数量]])</f>
        <v/>
      </c>
      <c r="D12" s="1" t="str">
        <f>IF(テーブル42[[#This Row],[単位]]="","",テーブル42[[#This Row],[単位]])</f>
        <v/>
      </c>
      <c r="E12" s="2" t="str">
        <f>IF(テーブル42[[#This Row],[単価]]="","",テーブル42[[#This Row],[単価]])</f>
        <v/>
      </c>
      <c r="F12" s="2" t="str">
        <f>IF(C12="","",C12*E12)</f>
        <v/>
      </c>
    </row>
    <row r="13" spans="1:6" x14ac:dyDescent="0.55000000000000004">
      <c r="A13" s="31" t="str">
        <f>IF(テーブル42[[#This Row],[月日]]="","",テーブル42[[#This Row],[月日]])</f>
        <v/>
      </c>
      <c r="B13" s="6" t="str">
        <f>IF(テーブル42[[#This Row],[内容]]="","",テーブル42[[#This Row],[内容]])</f>
        <v>会社情報ページへ岡山営業所情報を追加</v>
      </c>
      <c r="C13" s="1">
        <f>IF(テーブル42[[#This Row],[数量]]="","",テーブル42[[#This Row],[数量]])</f>
        <v>1</v>
      </c>
      <c r="D13" s="1" t="str">
        <f>IF(テーブル42[[#This Row],[単位]]="","",テーブル42[[#This Row],[単位]])</f>
        <v>式</v>
      </c>
      <c r="E13" s="2">
        <f>IF(テーブル42[[#This Row],[単価]]="","",テーブル42[[#This Row],[単価]])</f>
        <v>5400</v>
      </c>
      <c r="F13" s="2">
        <f t="shared" ref="F13:F30" si="0">IF(C13="","",C13*E13)</f>
        <v>5400</v>
      </c>
    </row>
    <row r="14" spans="1:6" x14ac:dyDescent="0.55000000000000004">
      <c r="A14" s="31" t="str">
        <f>IF(テーブル42[[#This Row],[月日]]="","",テーブル42[[#This Row],[月日]])</f>
        <v/>
      </c>
      <c r="B14" s="6" t="str">
        <f>IF(テーブル42[[#This Row],[内容]]="","",テーブル42[[#This Row],[内容]])</f>
        <v/>
      </c>
      <c r="C14" s="1" t="str">
        <f>IF(テーブル42[[#This Row],[数量]]="","",テーブル42[[#This Row],[数量]])</f>
        <v/>
      </c>
      <c r="D14" s="1" t="str">
        <f>IF(テーブル42[[#This Row],[単位]]="","",テーブル42[[#This Row],[単位]])</f>
        <v/>
      </c>
      <c r="E14" s="2" t="str">
        <f>IF(テーブル42[[#This Row],[単価]]="","",テーブル42[[#This Row],[単価]])</f>
        <v/>
      </c>
      <c r="F14" s="2" t="str">
        <f t="shared" si="0"/>
        <v/>
      </c>
    </row>
    <row r="15" spans="1:6" x14ac:dyDescent="0.55000000000000004">
      <c r="A15" s="31" t="str">
        <f>IF(テーブル42[[#This Row],[月日]]="","",テーブル42[[#This Row],[月日]])</f>
        <v/>
      </c>
      <c r="B15" s="6"/>
      <c r="C15" s="1" t="str">
        <f>IF(テーブル42[[#This Row],[数量]]="","",テーブル42[[#This Row],[数量]])</f>
        <v/>
      </c>
      <c r="D15" s="1" t="str">
        <f>IF(テーブル42[[#This Row],[単位]]="","",テーブル42[[#This Row],[単位]])</f>
        <v/>
      </c>
      <c r="E15" s="2" t="str">
        <f>IF(テーブル42[[#This Row],[単価]]="","",テーブル42[[#This Row],[単価]])</f>
        <v/>
      </c>
      <c r="F15" s="2" t="str">
        <f t="shared" si="0"/>
        <v/>
      </c>
    </row>
    <row r="16" spans="1:6" x14ac:dyDescent="0.55000000000000004">
      <c r="A16" s="31" t="str">
        <f>IF(テーブル42[[#This Row],[月日]]="","",テーブル42[[#This Row],[月日]])</f>
        <v/>
      </c>
      <c r="B16" s="6" t="str">
        <f>IF(テーブル42[[#This Row],[内容]]="","",テーブル42[[#This Row],[内容]])</f>
        <v/>
      </c>
      <c r="C16" s="1" t="str">
        <f>IF(テーブル42[[#This Row],[数量]]="","",テーブル42[[#This Row],[数量]])</f>
        <v/>
      </c>
      <c r="D16" s="1" t="str">
        <f>IF(テーブル42[[#This Row],[単位]]="","",テーブル42[[#This Row],[単位]])</f>
        <v/>
      </c>
      <c r="E16" s="2" t="str">
        <f>IF(テーブル42[[#This Row],[単価]]="","",テーブル42[[#This Row],[単価]])</f>
        <v/>
      </c>
      <c r="F16" s="2" t="str">
        <f t="shared" si="0"/>
        <v/>
      </c>
    </row>
    <row r="17" spans="1:6" x14ac:dyDescent="0.55000000000000004">
      <c r="A17" s="31" t="str">
        <f>IF(テーブル42[[#This Row],[月日]]="","",テーブル42[[#This Row],[月日]])</f>
        <v/>
      </c>
      <c r="B17" s="6" t="str">
        <f>IF(テーブル42[[#This Row],[内容]]="","",テーブル42[[#This Row],[内容]])</f>
        <v/>
      </c>
      <c r="C17" s="1" t="str">
        <f>IF(テーブル42[[#This Row],[数量]]="","",テーブル42[[#This Row],[数量]])</f>
        <v/>
      </c>
      <c r="D17" s="1" t="str">
        <f>IF(テーブル42[[#This Row],[単位]]="","",テーブル42[[#This Row],[単位]])</f>
        <v/>
      </c>
      <c r="E17" s="2" t="str">
        <f>IF(テーブル42[[#This Row],[単価]]="","",テーブル42[[#This Row],[単価]])</f>
        <v/>
      </c>
      <c r="F17" s="2" t="str">
        <f t="shared" ref="F17:F20" si="1">IF(C17="","",C17*E17)</f>
        <v/>
      </c>
    </row>
    <row r="18" spans="1:6" x14ac:dyDescent="0.55000000000000004">
      <c r="A18" s="31" t="str">
        <f>IF(テーブル42[[#This Row],[月日]]="","",テーブル42[[#This Row],[月日]])</f>
        <v/>
      </c>
      <c r="B18" s="6" t="str">
        <f>IF(テーブル42[[#This Row],[内容]]="","",テーブル42[[#This Row],[内容]])</f>
        <v/>
      </c>
      <c r="C18" s="1" t="str">
        <f>IF(テーブル42[[#This Row],[数量]]="","",テーブル42[[#This Row],[数量]])</f>
        <v/>
      </c>
      <c r="D18" s="1" t="str">
        <f>IF(テーブル42[[#This Row],[単位]]="","",テーブル42[[#This Row],[単位]])</f>
        <v/>
      </c>
      <c r="E18" s="2" t="str">
        <f>IF(テーブル42[[#This Row],[単価]]="","",テーブル42[[#This Row],[単価]])</f>
        <v/>
      </c>
      <c r="F18" s="2" t="str">
        <f t="shared" si="1"/>
        <v/>
      </c>
    </row>
    <row r="19" spans="1:6" x14ac:dyDescent="0.55000000000000004">
      <c r="A19" s="31" t="str">
        <f>IF(テーブル42[[#This Row],[月日]]="","",テーブル42[[#This Row],[月日]])</f>
        <v/>
      </c>
      <c r="B19" s="6" t="str">
        <f>IF(テーブル42[[#This Row],[内容]]="","",テーブル42[[#This Row],[内容]])</f>
        <v/>
      </c>
      <c r="C19" s="1" t="str">
        <f>IF(テーブル42[[#This Row],[数量]]="","",テーブル42[[#This Row],[数量]])</f>
        <v/>
      </c>
      <c r="D19" s="1" t="str">
        <f>IF(テーブル42[[#This Row],[単位]]="","",テーブル42[[#This Row],[単位]])</f>
        <v/>
      </c>
      <c r="E19" s="2" t="str">
        <f>IF(テーブル42[[#This Row],[単価]]="","",テーブル42[[#This Row],[単価]])</f>
        <v/>
      </c>
      <c r="F19" s="2" t="str">
        <f t="shared" si="1"/>
        <v/>
      </c>
    </row>
    <row r="20" spans="1:6" x14ac:dyDescent="0.55000000000000004">
      <c r="A20" s="31" t="str">
        <f>IF(テーブル42[[#This Row],[月日]]="","",テーブル42[[#This Row],[月日]])</f>
        <v/>
      </c>
      <c r="B20" s="6" t="str">
        <f>IF(テーブル42[[#This Row],[内容]]="","",テーブル42[[#This Row],[内容]])</f>
        <v/>
      </c>
      <c r="C20" s="1" t="str">
        <f>IF(テーブル42[[#This Row],[数量]]="","",テーブル42[[#This Row],[数量]])</f>
        <v/>
      </c>
      <c r="D20" s="1" t="str">
        <f>IF(テーブル42[[#This Row],[単位]]="","",テーブル42[[#This Row],[単位]])</f>
        <v/>
      </c>
      <c r="E20" s="2" t="str">
        <f>IF(テーブル42[[#This Row],[単価]]="","",テーブル42[[#This Row],[単価]])</f>
        <v/>
      </c>
      <c r="F20" s="2" t="str">
        <f t="shared" si="1"/>
        <v/>
      </c>
    </row>
    <row r="21" spans="1:6" x14ac:dyDescent="0.55000000000000004">
      <c r="A21" s="31" t="str">
        <f>IF(テーブル42[[#This Row],[月日]]="","",テーブル42[[#This Row],[月日]])</f>
        <v/>
      </c>
      <c r="B21" s="6" t="str">
        <f>IF(テーブル42[[#This Row],[内容]]="","",テーブル42[[#This Row],[内容]])</f>
        <v/>
      </c>
      <c r="C21" s="1" t="str">
        <f>IF(テーブル42[[#This Row],[数量]]="","",テーブル42[[#This Row],[数量]])</f>
        <v/>
      </c>
      <c r="D21" s="1" t="str">
        <f>IF(テーブル42[[#This Row],[単位]]="","",テーブル42[[#This Row],[単位]])</f>
        <v/>
      </c>
      <c r="E21" s="2" t="str">
        <f>IF(テーブル42[[#This Row],[単価]]="","",テーブル42[[#This Row],[単価]])</f>
        <v/>
      </c>
      <c r="F21" s="2" t="str">
        <f t="shared" ref="F21:F26" si="2">IF(C21="","",C21*E21)</f>
        <v/>
      </c>
    </row>
    <row r="22" spans="1:6" x14ac:dyDescent="0.55000000000000004">
      <c r="A22" s="31" t="str">
        <f>IF(テーブル42[[#This Row],[月日]]="","",テーブル42[[#This Row],[月日]])</f>
        <v/>
      </c>
      <c r="B22" s="6" t="str">
        <f>IF(テーブル42[[#This Row],[内容]]="","",テーブル42[[#This Row],[内容]])</f>
        <v/>
      </c>
      <c r="C22" s="1" t="str">
        <f>IF(テーブル42[[#This Row],[数量]]="","",テーブル42[[#This Row],[数量]])</f>
        <v/>
      </c>
      <c r="D22" s="1" t="str">
        <f>IF(テーブル42[[#This Row],[単位]]="","",テーブル42[[#This Row],[単位]])</f>
        <v/>
      </c>
      <c r="E22" s="2" t="str">
        <f>IF(テーブル42[[#This Row],[単価]]="","",テーブル42[[#This Row],[単価]])</f>
        <v/>
      </c>
      <c r="F22" s="2" t="str">
        <f t="shared" si="2"/>
        <v/>
      </c>
    </row>
    <row r="23" spans="1:6" x14ac:dyDescent="0.55000000000000004">
      <c r="A23" s="31" t="str">
        <f>IF(テーブル42[[#This Row],[月日]]="","",テーブル42[[#This Row],[月日]])</f>
        <v/>
      </c>
      <c r="B23" s="6" t="str">
        <f>IF(テーブル42[[#This Row],[内容]]="","",テーブル42[[#This Row],[内容]])</f>
        <v/>
      </c>
      <c r="C23" s="1" t="str">
        <f>IF(テーブル42[[#This Row],[数量]]="","",テーブル42[[#This Row],[数量]])</f>
        <v/>
      </c>
      <c r="D23" s="1" t="str">
        <f>IF(テーブル42[[#This Row],[単位]]="","",テーブル42[[#This Row],[単位]])</f>
        <v/>
      </c>
      <c r="E23" s="2" t="str">
        <f>IF(テーブル42[[#This Row],[単価]]="","",テーブル42[[#This Row],[単価]])</f>
        <v/>
      </c>
      <c r="F23" s="2" t="str">
        <f t="shared" si="2"/>
        <v/>
      </c>
    </row>
    <row r="24" spans="1:6" x14ac:dyDescent="0.55000000000000004">
      <c r="A24" s="31" t="str">
        <f>IF(テーブル42[[#This Row],[月日]]="","",テーブル42[[#This Row],[月日]])</f>
        <v/>
      </c>
      <c r="B24" s="6" t="str">
        <f>IF(テーブル42[[#This Row],[内容]]="","",テーブル42[[#This Row],[内容]])</f>
        <v/>
      </c>
      <c r="C24" s="1" t="str">
        <f>IF(テーブル42[[#This Row],[数量]]="","",テーブル42[[#This Row],[数量]])</f>
        <v/>
      </c>
      <c r="D24" s="1" t="str">
        <f>IF(テーブル42[[#This Row],[単位]]="","",テーブル42[[#This Row],[単位]])</f>
        <v/>
      </c>
      <c r="E24" s="2" t="str">
        <f>IF(テーブル42[[#This Row],[単価]]="","",テーブル42[[#This Row],[単価]])</f>
        <v/>
      </c>
      <c r="F24" s="2" t="str">
        <f t="shared" si="2"/>
        <v/>
      </c>
    </row>
    <row r="25" spans="1:6" x14ac:dyDescent="0.55000000000000004">
      <c r="A25" s="31" t="str">
        <f>IF(テーブル42[[#This Row],[月日]]="","",テーブル42[[#This Row],[月日]])</f>
        <v/>
      </c>
      <c r="B25" s="6" t="str">
        <f>IF(テーブル42[[#This Row],[内容]]="","",テーブル42[[#This Row],[内容]])</f>
        <v/>
      </c>
      <c r="C25" s="1" t="str">
        <f>IF(テーブル42[[#This Row],[数量]]="","",テーブル42[[#This Row],[数量]])</f>
        <v/>
      </c>
      <c r="D25" s="1" t="str">
        <f>IF(テーブル42[[#This Row],[単位]]="","",テーブル42[[#This Row],[単位]])</f>
        <v/>
      </c>
      <c r="E25" s="2" t="str">
        <f>IF(テーブル42[[#This Row],[単価]]="","",テーブル42[[#This Row],[単価]])</f>
        <v/>
      </c>
      <c r="F25" s="2" t="str">
        <f t="shared" si="2"/>
        <v/>
      </c>
    </row>
    <row r="26" spans="1:6" x14ac:dyDescent="0.55000000000000004">
      <c r="A26" s="31" t="str">
        <f>IF(テーブル42[[#This Row],[月日]]="","",テーブル42[[#This Row],[月日]])</f>
        <v/>
      </c>
      <c r="B26" s="6" t="str">
        <f>IF(テーブル42[[#This Row],[内容]]="","",テーブル42[[#This Row],[内容]])</f>
        <v/>
      </c>
      <c r="C26" s="1" t="str">
        <f>IF(テーブル42[[#This Row],[数量]]="","",テーブル42[[#This Row],[数量]])</f>
        <v/>
      </c>
      <c r="D26" s="1" t="str">
        <f>IF(テーブル42[[#This Row],[単位]]="","",テーブル42[[#This Row],[単位]])</f>
        <v/>
      </c>
      <c r="E26" s="2" t="str">
        <f>IF(テーブル42[[#This Row],[単価]]="","",テーブル42[[#This Row],[単価]])</f>
        <v/>
      </c>
      <c r="F26" s="2" t="str">
        <f t="shared" si="2"/>
        <v/>
      </c>
    </row>
    <row r="27" spans="1:6" x14ac:dyDescent="0.55000000000000004">
      <c r="A27" s="31" t="str">
        <f>IF(テーブル42[[#This Row],[月日]]="","",テーブル42[[#This Row],[月日]])</f>
        <v/>
      </c>
      <c r="B27" s="6" t="str">
        <f>IF(テーブル42[[#This Row],[内容]]="","",テーブル42[[#This Row],[内容]])</f>
        <v/>
      </c>
      <c r="C27" s="1" t="str">
        <f>IF(テーブル42[[#This Row],[数量]]="","",テーブル42[[#This Row],[数量]])</f>
        <v/>
      </c>
      <c r="D27" s="1" t="str">
        <f>IF(テーブル42[[#This Row],[単位]]="","",テーブル42[[#This Row],[単位]])</f>
        <v/>
      </c>
      <c r="E27" s="2" t="str">
        <f>IF(テーブル42[[#This Row],[単価]]="","",テーブル42[[#This Row],[単価]])</f>
        <v/>
      </c>
      <c r="F27" s="2" t="str">
        <f t="shared" si="0"/>
        <v/>
      </c>
    </row>
    <row r="28" spans="1:6" x14ac:dyDescent="0.55000000000000004">
      <c r="A28" s="31" t="str">
        <f>IF(テーブル42[[#This Row],[月日]]="","",テーブル42[[#This Row],[月日]])</f>
        <v/>
      </c>
      <c r="B28" s="6" t="str">
        <f>IF(テーブル42[[#This Row],[内容]]="","",テーブル42[[#This Row],[内容]])</f>
        <v/>
      </c>
      <c r="C28" s="1" t="str">
        <f>IF(テーブル42[[#This Row],[数量]]="","",テーブル42[[#This Row],[数量]])</f>
        <v/>
      </c>
      <c r="D28" s="1" t="str">
        <f>IF(テーブル42[[#This Row],[単位]]="","",テーブル42[[#This Row],[単位]])</f>
        <v/>
      </c>
      <c r="E28" s="2" t="str">
        <f>IF(テーブル42[[#This Row],[単価]]="","",テーブル42[[#This Row],[単価]])</f>
        <v/>
      </c>
      <c r="F28" s="2" t="str">
        <f t="shared" si="0"/>
        <v/>
      </c>
    </row>
    <row r="29" spans="1:6" x14ac:dyDescent="0.55000000000000004">
      <c r="A29" s="31" t="str">
        <f>IF(テーブル42[[#This Row],[月日]]="","",テーブル42[[#This Row],[月日]])</f>
        <v/>
      </c>
      <c r="B29" s="6" t="str">
        <f>IF(テーブル42[[#This Row],[内容]]="","",テーブル42[[#This Row],[内容]])</f>
        <v/>
      </c>
      <c r="C29" s="1" t="str">
        <f>IF(テーブル42[[#This Row],[数量]]="","",テーブル42[[#This Row],[数量]])</f>
        <v/>
      </c>
      <c r="D29" s="1" t="str">
        <f>IF(テーブル42[[#This Row],[単位]]="","",テーブル42[[#This Row],[単位]])</f>
        <v/>
      </c>
      <c r="E29" s="2" t="str">
        <f>IF(テーブル42[[#This Row],[単価]]="","",テーブル42[[#This Row],[単価]])</f>
        <v/>
      </c>
      <c r="F29" s="2" t="str">
        <f t="shared" si="0"/>
        <v/>
      </c>
    </row>
    <row r="30" spans="1:6" x14ac:dyDescent="0.55000000000000004">
      <c r="A30" s="6" t="str">
        <f>IF(テーブル42[[#This Row],[月日]]="","",テーブル42[[#This Row],[月日]])</f>
        <v/>
      </c>
      <c r="B30" s="6" t="str">
        <f>IF(テーブル42[[#This Row],[内容]]="","",テーブル42[[#This Row],[内容]])</f>
        <v/>
      </c>
      <c r="C30" s="1" t="str">
        <f>IF(テーブル42[[#This Row],[数量]]="","",テーブル42[[#This Row],[数量]])</f>
        <v/>
      </c>
      <c r="D30" s="1" t="str">
        <f>IF(テーブル42[[#This Row],[単位]]="","",テーブル42[[#This Row],[単位]])</f>
        <v/>
      </c>
      <c r="E30" s="2" t="str">
        <f>IF(テーブル42[[#This Row],[単価]]="","",テーブル42[[#This Row],[単価]])</f>
        <v/>
      </c>
      <c r="F30" s="2" t="str">
        <f t="shared" si="0"/>
        <v/>
      </c>
    </row>
    <row r="31" spans="1:6" x14ac:dyDescent="0.55000000000000004">
      <c r="A31" s="34"/>
      <c r="B31" s="35"/>
      <c r="C31" s="35"/>
      <c r="D31" s="35"/>
      <c r="E31" s="36" t="s">
        <v>7</v>
      </c>
      <c r="F31" s="37">
        <f>SUM(F11:F30)</f>
        <v>20400</v>
      </c>
    </row>
    <row r="32" spans="1:6" x14ac:dyDescent="0.55000000000000004">
      <c r="A32" s="8"/>
      <c r="B32" s="9"/>
      <c r="C32" s="9"/>
      <c r="D32" s="9"/>
      <c r="E32" s="8"/>
      <c r="F32" s="10"/>
    </row>
    <row r="33" spans="1:6" x14ac:dyDescent="0.55000000000000004">
      <c r="A33" s="8"/>
      <c r="B33" s="9"/>
      <c r="C33" s="9"/>
      <c r="D33" s="9"/>
      <c r="E33" s="8"/>
      <c r="F33" s="10"/>
    </row>
    <row r="35" spans="1:6" ht="16" customHeight="1" x14ac:dyDescent="0.55000000000000004">
      <c r="A35" s="21" t="s">
        <v>19</v>
      </c>
      <c r="B35" s="22"/>
    </row>
    <row r="36" spans="1:6" ht="16" customHeight="1" x14ac:dyDescent="0.55000000000000004">
      <c r="A36" s="33" t="s">
        <v>26</v>
      </c>
      <c r="B36" s="23"/>
      <c r="D36" s="6" t="s">
        <v>16</v>
      </c>
    </row>
    <row r="37" spans="1:6" ht="16" customHeight="1" x14ac:dyDescent="0.55000000000000004">
      <c r="A37" s="33" t="s">
        <v>15</v>
      </c>
      <c r="B37" s="23"/>
      <c r="D37" s="7" t="s">
        <v>17</v>
      </c>
    </row>
    <row r="38" spans="1:6" ht="16" customHeight="1" x14ac:dyDescent="0.55000000000000004">
      <c r="A38" s="28"/>
      <c r="B38" s="23"/>
      <c r="D38" s="7" t="s">
        <v>18</v>
      </c>
    </row>
    <row r="39" spans="1:6" ht="16" customHeight="1" x14ac:dyDescent="0.55000000000000004">
      <c r="A39" s="29"/>
      <c r="B39" s="24"/>
      <c r="D39" s="7" t="s">
        <v>25</v>
      </c>
    </row>
  </sheetData>
  <mergeCells count="1">
    <mergeCell ref="A10:B10"/>
  </mergeCells>
  <phoneticPr fontId="2"/>
  <printOptions horizontalCentered="1"/>
  <pageMargins left="0.51181102362204722" right="0.51181102362204722" top="0.74803149606299213" bottom="0.55118110236220474" header="0.31496062992125984" footer="0.31496062992125984"/>
  <pageSetup paperSize="9" scale="87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924A9-7896-4BE7-A8D2-8A3B9F8EDC99}">
  <sheetPr>
    <pageSetUpPr fitToPage="1"/>
  </sheetPr>
  <dimension ref="A1:F39"/>
  <sheetViews>
    <sheetView tabSelected="1" zoomScaleNormal="100" zoomScaleSheetLayoutView="70" workbookViewId="0">
      <selection activeCell="F3" sqref="F3"/>
    </sheetView>
  </sheetViews>
  <sheetFormatPr defaultRowHeight="18" x14ac:dyDescent="0.55000000000000004"/>
  <cols>
    <col min="1" max="1" width="9.08203125" customWidth="1"/>
    <col min="2" max="2" width="51" customWidth="1"/>
    <col min="3" max="4" width="7.58203125" customWidth="1"/>
    <col min="5" max="5" width="9.5" bestFit="1" customWidth="1"/>
    <col min="6" max="6" width="12.75" bestFit="1" customWidth="1"/>
  </cols>
  <sheetData>
    <row r="1" spans="1:6" ht="29" x14ac:dyDescent="0.55000000000000004">
      <c r="A1" s="5" t="s">
        <v>20</v>
      </c>
    </row>
    <row r="2" spans="1:6" x14ac:dyDescent="0.5">
      <c r="E2" s="17" t="s">
        <v>22</v>
      </c>
      <c r="F2" s="25" t="s">
        <v>31</v>
      </c>
    </row>
    <row r="3" spans="1:6" x14ac:dyDescent="0.55000000000000004">
      <c r="A3" s="19" t="s">
        <v>11</v>
      </c>
      <c r="B3" s="20" t="s">
        <v>21</v>
      </c>
      <c r="E3" s="4" t="s">
        <v>9</v>
      </c>
      <c r="F3" s="26">
        <v>46211</v>
      </c>
    </row>
    <row r="4" spans="1:6" x14ac:dyDescent="0.55000000000000004">
      <c r="A4" s="19" t="s">
        <v>12</v>
      </c>
      <c r="B4" s="20" t="s">
        <v>27</v>
      </c>
      <c r="E4" s="18" t="s">
        <v>23</v>
      </c>
      <c r="F4" s="27">
        <f>F3+14</f>
        <v>46225</v>
      </c>
    </row>
    <row r="5" spans="1:6" ht="24" customHeight="1" x14ac:dyDescent="0.55000000000000004">
      <c r="F5" s="3"/>
    </row>
    <row r="6" spans="1:6" ht="24" customHeight="1" x14ac:dyDescent="0.55000000000000004">
      <c r="A6" t="s">
        <v>24</v>
      </c>
    </row>
    <row r="7" spans="1:6" ht="24" customHeight="1" x14ac:dyDescent="0.55000000000000004"/>
    <row r="8" spans="1:6" ht="24" customHeight="1" thickBot="1" x14ac:dyDescent="0.6">
      <c r="C8" s="12" t="s">
        <v>14</v>
      </c>
      <c r="D8" s="12"/>
      <c r="E8" s="12"/>
      <c r="F8" s="13">
        <f>F31</f>
        <v>20400</v>
      </c>
    </row>
    <row r="10" spans="1:6" x14ac:dyDescent="0.55000000000000004">
      <c r="A10" s="38" t="s">
        <v>1</v>
      </c>
      <c r="B10" s="39"/>
      <c r="C10" s="11" t="s">
        <v>2</v>
      </c>
      <c r="D10" s="11" t="s">
        <v>3</v>
      </c>
      <c r="E10" s="11" t="s">
        <v>4</v>
      </c>
      <c r="F10" s="11" t="s">
        <v>5</v>
      </c>
    </row>
    <row r="11" spans="1:6" x14ac:dyDescent="0.55000000000000004">
      <c r="A11" s="30" t="s">
        <v>28</v>
      </c>
      <c r="B11" s="6"/>
      <c r="C11" s="1">
        <v>1</v>
      </c>
      <c r="D11" s="1" t="s">
        <v>6</v>
      </c>
      <c r="E11" s="2">
        <v>15000</v>
      </c>
      <c r="F11" s="2">
        <f>IF(C11="","",C11*E11)</f>
        <v>15000</v>
      </c>
    </row>
    <row r="12" spans="1:6" x14ac:dyDescent="0.55000000000000004">
      <c r="A12" s="31" t="s">
        <v>30</v>
      </c>
      <c r="B12" s="6"/>
      <c r="C12" s="1"/>
      <c r="D12" s="1"/>
      <c r="E12" s="2"/>
      <c r="F12" s="2" t="str">
        <f>IF(C12="","",C12*E12)</f>
        <v/>
      </c>
    </row>
    <row r="13" spans="1:6" x14ac:dyDescent="0.55000000000000004">
      <c r="A13" s="31"/>
      <c r="B13" s="6" t="s">
        <v>29</v>
      </c>
      <c r="C13" s="1">
        <v>1</v>
      </c>
      <c r="D13" s="1" t="s">
        <v>6</v>
      </c>
      <c r="E13" s="2">
        <v>5400</v>
      </c>
      <c r="F13" s="2">
        <f t="shared" ref="F13:F30" si="0">IF(C13="","",C13*E13)</f>
        <v>5400</v>
      </c>
    </row>
    <row r="14" spans="1:6" x14ac:dyDescent="0.55000000000000004">
      <c r="A14" s="31"/>
      <c r="B14" s="6"/>
      <c r="C14" s="1"/>
      <c r="D14" s="1"/>
      <c r="E14" s="2"/>
      <c r="F14" s="2" t="str">
        <f t="shared" si="0"/>
        <v/>
      </c>
    </row>
    <row r="15" spans="1:6" x14ac:dyDescent="0.55000000000000004">
      <c r="A15" s="31"/>
      <c r="B15" s="6"/>
      <c r="C15" s="1"/>
      <c r="D15" s="1"/>
      <c r="E15" s="2"/>
      <c r="F15" s="2"/>
    </row>
    <row r="16" spans="1:6" x14ac:dyDescent="0.55000000000000004">
      <c r="A16" s="31"/>
      <c r="B16" s="6"/>
      <c r="C16" s="1"/>
      <c r="D16" s="1"/>
      <c r="E16" s="2"/>
      <c r="F16" s="2" t="str">
        <f t="shared" si="0"/>
        <v/>
      </c>
    </row>
    <row r="17" spans="1:6" x14ac:dyDescent="0.55000000000000004">
      <c r="A17" s="31"/>
      <c r="B17" s="6"/>
      <c r="C17" s="1"/>
      <c r="D17" s="1"/>
      <c r="E17" s="2"/>
      <c r="F17" s="2" t="str">
        <f t="shared" si="0"/>
        <v/>
      </c>
    </row>
    <row r="18" spans="1:6" x14ac:dyDescent="0.55000000000000004">
      <c r="A18" s="31"/>
      <c r="B18" s="6"/>
      <c r="C18" s="1"/>
      <c r="D18" s="1"/>
      <c r="E18" s="2"/>
      <c r="F18" s="2" t="str">
        <f t="shared" si="0"/>
        <v/>
      </c>
    </row>
    <row r="19" spans="1:6" x14ac:dyDescent="0.55000000000000004">
      <c r="A19" s="31"/>
      <c r="B19" s="6"/>
      <c r="C19" s="1"/>
      <c r="D19" s="1"/>
      <c r="E19" s="2"/>
      <c r="F19" s="2" t="str">
        <f t="shared" si="0"/>
        <v/>
      </c>
    </row>
    <row r="20" spans="1:6" x14ac:dyDescent="0.55000000000000004">
      <c r="A20" s="31"/>
      <c r="B20" s="6"/>
      <c r="C20" s="1"/>
      <c r="D20" s="1"/>
      <c r="E20" s="2"/>
      <c r="F20" s="2" t="str">
        <f t="shared" si="0"/>
        <v/>
      </c>
    </row>
    <row r="21" spans="1:6" x14ac:dyDescent="0.55000000000000004">
      <c r="A21" s="31"/>
      <c r="B21" s="6"/>
      <c r="C21" s="1"/>
      <c r="D21" s="1"/>
      <c r="E21" s="2"/>
      <c r="F21" s="2" t="str">
        <f t="shared" si="0"/>
        <v/>
      </c>
    </row>
    <row r="22" spans="1:6" x14ac:dyDescent="0.55000000000000004">
      <c r="A22" s="31"/>
      <c r="B22" s="6"/>
      <c r="C22" s="1"/>
      <c r="D22" s="1"/>
      <c r="E22" s="2"/>
      <c r="F22" s="2" t="str">
        <f t="shared" si="0"/>
        <v/>
      </c>
    </row>
    <row r="23" spans="1:6" x14ac:dyDescent="0.55000000000000004">
      <c r="A23" s="31"/>
      <c r="B23" s="6"/>
      <c r="C23" s="1"/>
      <c r="D23" s="1"/>
      <c r="E23" s="2"/>
      <c r="F23" s="2" t="str">
        <f t="shared" si="0"/>
        <v/>
      </c>
    </row>
    <row r="24" spans="1:6" x14ac:dyDescent="0.55000000000000004">
      <c r="A24" s="31"/>
      <c r="B24" s="6"/>
      <c r="C24" s="1"/>
      <c r="D24" s="1"/>
      <c r="E24" s="2"/>
      <c r="F24" s="2" t="str">
        <f t="shared" si="0"/>
        <v/>
      </c>
    </row>
    <row r="25" spans="1:6" x14ac:dyDescent="0.55000000000000004">
      <c r="A25" s="31"/>
      <c r="B25" s="6"/>
      <c r="C25" s="1"/>
      <c r="D25" s="1"/>
      <c r="E25" s="2"/>
      <c r="F25" s="2" t="str">
        <f t="shared" si="0"/>
        <v/>
      </c>
    </row>
    <row r="26" spans="1:6" x14ac:dyDescent="0.55000000000000004">
      <c r="A26" s="31"/>
      <c r="B26" s="6"/>
      <c r="C26" s="1"/>
      <c r="D26" s="1"/>
      <c r="E26" s="2"/>
      <c r="F26" s="2" t="str">
        <f t="shared" si="0"/>
        <v/>
      </c>
    </row>
    <row r="27" spans="1:6" x14ac:dyDescent="0.55000000000000004">
      <c r="A27" s="31"/>
      <c r="B27" s="6"/>
      <c r="C27" s="1"/>
      <c r="D27" s="1"/>
      <c r="E27" s="2"/>
      <c r="F27" s="2" t="str">
        <f t="shared" si="0"/>
        <v/>
      </c>
    </row>
    <row r="28" spans="1:6" x14ac:dyDescent="0.55000000000000004">
      <c r="A28" s="31"/>
      <c r="B28" s="6"/>
      <c r="C28" s="1"/>
      <c r="D28" s="1"/>
      <c r="E28" s="2"/>
      <c r="F28" s="2" t="str">
        <f t="shared" si="0"/>
        <v/>
      </c>
    </row>
    <row r="29" spans="1:6" x14ac:dyDescent="0.55000000000000004">
      <c r="A29" s="31"/>
      <c r="B29" s="6"/>
      <c r="C29" s="1"/>
      <c r="D29" s="1"/>
      <c r="E29" s="2"/>
      <c r="F29" s="2" t="str">
        <f t="shared" si="0"/>
        <v/>
      </c>
    </row>
    <row r="30" spans="1:6" x14ac:dyDescent="0.55000000000000004">
      <c r="A30" s="6"/>
      <c r="B30" s="6"/>
      <c r="C30" s="1"/>
      <c r="D30" s="1"/>
      <c r="E30" s="2"/>
      <c r="F30" s="2" t="str">
        <f t="shared" si="0"/>
        <v/>
      </c>
    </row>
    <row r="31" spans="1:6" x14ac:dyDescent="0.55000000000000004">
      <c r="A31" s="32"/>
      <c r="B31" s="14"/>
      <c r="C31" s="14"/>
      <c r="D31" s="14"/>
      <c r="E31" s="15" t="s">
        <v>7</v>
      </c>
      <c r="F31" s="16">
        <f>SUM(F11:F30)</f>
        <v>20400</v>
      </c>
    </row>
    <row r="32" spans="1:6" x14ac:dyDescent="0.55000000000000004">
      <c r="A32" s="8"/>
      <c r="B32" s="9"/>
      <c r="C32" s="9"/>
      <c r="D32" s="9"/>
      <c r="E32" s="8"/>
      <c r="F32" s="10"/>
    </row>
    <row r="33" spans="1:6" x14ac:dyDescent="0.55000000000000004">
      <c r="A33" s="8"/>
      <c r="B33" s="9"/>
      <c r="C33" s="9"/>
      <c r="D33" s="9"/>
      <c r="E33" s="8"/>
      <c r="F33" s="10"/>
    </row>
    <row r="35" spans="1:6" ht="16" customHeight="1" x14ac:dyDescent="0.55000000000000004">
      <c r="A35" s="21" t="s">
        <v>19</v>
      </c>
      <c r="B35" s="22"/>
    </row>
    <row r="36" spans="1:6" ht="16" customHeight="1" x14ac:dyDescent="0.55000000000000004">
      <c r="A36" s="33"/>
      <c r="B36" s="23"/>
      <c r="D36" s="6" t="s">
        <v>16</v>
      </c>
    </row>
    <row r="37" spans="1:6" ht="16" customHeight="1" x14ac:dyDescent="0.55000000000000004">
      <c r="A37" s="28"/>
      <c r="B37" s="23"/>
      <c r="D37" s="7" t="s">
        <v>17</v>
      </c>
    </row>
    <row r="38" spans="1:6" ht="16" customHeight="1" x14ac:dyDescent="0.55000000000000004">
      <c r="A38" s="28"/>
      <c r="B38" s="23"/>
      <c r="D38" s="7" t="s">
        <v>18</v>
      </c>
    </row>
    <row r="39" spans="1:6" ht="16" customHeight="1" x14ac:dyDescent="0.55000000000000004">
      <c r="A39" s="29"/>
      <c r="B39" s="24"/>
      <c r="D39" s="7" t="s">
        <v>25</v>
      </c>
    </row>
  </sheetData>
  <mergeCells count="1">
    <mergeCell ref="A10:B10"/>
  </mergeCells>
  <phoneticPr fontId="2"/>
  <printOptions horizontalCentered="1"/>
  <pageMargins left="0.51181102362204722" right="0.51181102362204722" top="0.74803149606299213" bottom="0.55118110236220474" header="0.31496062992125984" footer="0.31496062992125984"/>
  <pageSetup paperSize="9" scale="87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請求書</vt:lpstr>
      <vt:lpstr>見積書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 kobata</dc:creator>
  <cp:lastModifiedBy>mika kobata</cp:lastModifiedBy>
  <cp:lastPrinted>2025-08-17T07:45:20Z</cp:lastPrinted>
  <dcterms:created xsi:type="dcterms:W3CDTF">2025-06-14T23:46:13Z</dcterms:created>
  <dcterms:modified xsi:type="dcterms:W3CDTF">2026-07-13T04:35:18Z</dcterms:modified>
</cp:coreProperties>
</file>